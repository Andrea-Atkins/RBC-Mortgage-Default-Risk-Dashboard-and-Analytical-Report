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FF84BA7-EBEC-4330-862C-878ED84BDCD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Q1 Impairment Rate Data" sheetId="1" r:id="rId1"/>
    <sheet name="Q2 Bank vs Nonbank Arrears" sheetId="2" r:id="rId2"/>
    <sheet name="Q3 Interest Rate vs Impairment " sheetId="3" r:id="rId3"/>
    <sheet name="Q4 Renewal Exposure" sheetId="5" r:id="rId4"/>
    <sheet name="Q5 Ontario vs Canada Arrears" sheetId="6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6" l="1"/>
  <c r="D21" i="6"/>
  <c r="G20" i="6"/>
  <c r="D20" i="6"/>
  <c r="G19" i="6"/>
  <c r="D19" i="6"/>
  <c r="G18" i="6"/>
  <c r="D18" i="6"/>
  <c r="G17" i="6"/>
  <c r="D17" i="6"/>
  <c r="G16" i="6"/>
  <c r="D16" i="6"/>
  <c r="G15" i="6"/>
  <c r="D15" i="6"/>
  <c r="G14" i="6"/>
  <c r="D14" i="6"/>
  <c r="G13" i="6"/>
  <c r="D13" i="6"/>
  <c r="G12" i="6"/>
  <c r="D12" i="6"/>
  <c r="G11" i="6"/>
  <c r="D11" i="6"/>
  <c r="G10" i="6"/>
  <c r="D10" i="6"/>
  <c r="G9" i="6"/>
  <c r="D9" i="6"/>
  <c r="G8" i="6"/>
  <c r="D8" i="6"/>
  <c r="G7" i="6"/>
  <c r="D7" i="6"/>
  <c r="G6" i="6"/>
  <c r="D6" i="6"/>
  <c r="G5" i="6"/>
  <c r="D5" i="6"/>
  <c r="G4" i="6"/>
  <c r="D4" i="6"/>
  <c r="G3" i="6"/>
  <c r="D3" i="6"/>
  <c r="G2" i="6"/>
  <c r="D2" i="6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<sst xmlns="http://schemas.openxmlformats.org/spreadsheetml/2006/main" count="120" uniqueCount="74">
  <si>
    <t>Quarter</t>
  </si>
  <si>
    <t>Mortgage Balance ($M)</t>
  </si>
  <si>
    <t>Impaired Loans ($M)</t>
  </si>
  <si>
    <t>Impairment Rate (%)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</si>
  <si>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</si>
  <si>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</si>
  <si>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</si>
  <si>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</si>
  <si>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</si>
  <si>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</si>
  <si>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</si>
  <si>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</si>
  <si>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</si>
  <si>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</si>
  <si>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</si>
  <si>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</si>
  <si>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</si>
  <si>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</si>
  <si>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</si>
  <si>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</si>
  <si>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</si>
  <si>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</si>
  <si>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</si>
  <si>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</si>
  <si>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</si>
  <si>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</si>
  <si>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</si>
  <si>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Calendar Quarter</t>
  </si>
  <si>
    <t>RBC Impairment Rate (%)</t>
  </si>
  <si>
    <t>Non-Bank 90+ Day Arrears Rate (%)</t>
  </si>
  <si>
    <t>Gap (RBC − Non-Bank)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</si>
  <si>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</si>
  <si>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</si>
  <si>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</si>
  <si>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</si>
  <si>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</si>
  <si>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</si>
  <si>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</si>
  <si>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</si>
  <si>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</si>
  <si>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</si>
  <si>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</si>
  <si>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</si>
  <si>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</si>
  <si>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</si>
  <si>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</si>
  <si>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</si>
  <si>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</si>
  <si>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</si>
  <si>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</si>
  <si>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</si>
  <si>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</si>
  <si>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</si>
  <si>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</si>
  <si>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</si>
  <si>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BoC Policy Rate (%)</t>
  </si>
  <si>
    <t>Time Bucket</t>
  </si>
  <si>
    <t>RBC Total Loan Book (%)</t>
  </si>
  <si>
    <t>RBC Total Loan Book ($B)</t>
  </si>
  <si>
    <t>Peer Avg Mortgages Only (%)</t>
  </si>
  <si>
    <t>Peer Avg ($B)</t>
  </si>
  <si>
    <t>6 months (Aug 2025-Jan 2026)</t>
  </si>
  <si>
    <t>6-12 months (Feb-Jul 2026)</t>
  </si>
  <si>
    <t>1-2 years (Aug 2026-Jul 2027)</t>
  </si>
  <si>
    <t>2-5 years (Aug 2027-Jul 2030)</t>
  </si>
  <si>
    <t>5+ years (Aug 2030+)</t>
  </si>
  <si>
    <t>No specific maturity</t>
  </si>
  <si>
    <t>Canada Total Mortgages</t>
  </si>
  <si>
    <t>Canada in Arrears</t>
  </si>
  <si>
    <t>Canada Rate (%)</t>
  </si>
  <si>
    <t>Ontario Total Mortgages</t>
  </si>
  <si>
    <t>Ontario in Arrears</t>
  </si>
  <si>
    <t>Ontario Rate (%)</t>
  </si>
  <si>
    <t>Quarter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</si>
</sst>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%"/>
    <numFmt numFmtId="166" formatCode="#,##0.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0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3DA5"/>
        <bgColor rgb="FF333399"/>
      </patternFill>
    </fill>
    <fill>
      <patternFill patternType="solid">
        <fgColor rgb="FFF7F9F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2" fillId="3" borderId="0" xfId="0" applyFont="1" applyFill="1"/>
    <xf numFmtId="3" fontId="2" fillId="3" borderId="0" xfId="0" applyNumberFormat="1" applyFont="1" applyFill="1"/>
    <xf numFmtId="164" fontId="2" fillId="3" borderId="0" xfId="0" applyNumberFormat="1" applyFont="1" applyFill="1"/>
    <xf numFmtId="0" fontId="3" fillId="2" borderId="0" xfId="0" applyFont="1" applyFill="1" applyAlignment="1">
      <alignment horizontal="center" wrapText="1"/>
    </xf>
    <xf numFmtId="10" fontId="2" fillId="0" borderId="0" xfId="0" applyNumberFormat="1" applyFont="1"/>
    <xf numFmtId="10" fontId="2" fillId="3" borderId="0" xfId="0" applyNumberFormat="1" applyFont="1" applyFill="1"/>
    <xf numFmtId="165" fontId="2" fillId="0" borderId="0" xfId="0" applyNumberFormat="1" applyFont="1"/>
    <xf numFmtId="166" fontId="2" fillId="0" borderId="0" xfId="0" applyNumberFormat="1" applyFont="1"/>
    <xf numFmtId="165" fontId="2" fillId="3" borderId="0" xfId="0" applyNumberFormat="1" applyFont="1" applyFill="1"/>
    <xf numFmtId="166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DA5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Normal="100" workbookViewId="0">
      <selection activeCell="E25" sqref="E25"/>
    </sheetView>
  </sheetViews>
  <sheetFormatPr defaultColWidth="8.7109375" defaultRowHeight="15" x14ac:dyDescent="0.25"/>
  <cols>
    <col min="1" max="1" width="12" customWidth="1"/>
    <col min="2" max="2" width="22" customWidth="1"/>
    <col min="3" max="3" width="20" customWidth="1"/>
    <col min="4" max="4" width="22.85546875" customWidth="1"/>
    <col min="5" max="5" width="18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73</v>
      </c>
    </row>
    <row r="2" spans="1:5" x14ac:dyDescent="0.25">
      <c r="A2" s="2" t="s">
        <v>4</v>
      </c>
      <c r="B2" s="3">
        <v>298889</v>
      </c>
      <c r="C2" s="3">
        <v>475</v>
      </c>
      <c r="D2" s="4">
        <f t="shared" ref="D2:D24" si="0">C2/B2</f>
        <v>1.5892187400673829E-3</v>
      </c>
      <c r="E2">
        <v>1</v>
      </c>
    </row>
    <row r="3" spans="1:5" x14ac:dyDescent="0.25">
      <c r="A3" s="5" t="s">
        <v>5</v>
      </c>
      <c r="B3" s="6">
        <v>307589</v>
      </c>
      <c r="C3" s="6">
        <v>486</v>
      </c>
      <c r="D3" s="7">
        <f t="shared" si="0"/>
        <v>1.5800304952387765E-3</v>
      </c>
      <c r="E3">
        <v>2</v>
      </c>
    </row>
    <row r="4" spans="1:5" x14ac:dyDescent="0.25">
      <c r="A4" s="2" t="s">
        <v>6</v>
      </c>
      <c r="B4" s="3">
        <v>319287</v>
      </c>
      <c r="C4" s="3">
        <v>425</v>
      </c>
      <c r="D4" s="4">
        <f t="shared" si="0"/>
        <v>1.3310908367706797E-3</v>
      </c>
      <c r="E4">
        <v>3</v>
      </c>
    </row>
    <row r="5" spans="1:5" x14ac:dyDescent="0.25">
      <c r="A5" s="5" t="s">
        <v>7</v>
      </c>
      <c r="B5" s="6">
        <v>328994</v>
      </c>
      <c r="C5" s="6">
        <v>471</v>
      </c>
      <c r="D5" s="7">
        <f t="shared" si="0"/>
        <v>1.4316370511316316E-3</v>
      </c>
      <c r="E5">
        <v>4</v>
      </c>
    </row>
    <row r="6" spans="1:5" x14ac:dyDescent="0.25">
      <c r="A6" s="2" t="s">
        <v>8</v>
      </c>
      <c r="B6" s="3">
        <v>334980</v>
      </c>
      <c r="C6" s="3">
        <v>495</v>
      </c>
      <c r="D6" s="4">
        <f t="shared" si="0"/>
        <v>1.4777001612036539E-3</v>
      </c>
      <c r="E6">
        <v>5</v>
      </c>
    </row>
    <row r="7" spans="1:5" x14ac:dyDescent="0.25">
      <c r="A7" s="5" t="s">
        <v>9</v>
      </c>
      <c r="B7" s="6">
        <v>345964</v>
      </c>
      <c r="C7" s="6">
        <v>459</v>
      </c>
      <c r="D7" s="7">
        <f t="shared" si="0"/>
        <v>1.3267276364014753E-3</v>
      </c>
      <c r="E7">
        <v>6</v>
      </c>
    </row>
    <row r="8" spans="1:5" x14ac:dyDescent="0.25">
      <c r="A8" s="2" t="s">
        <v>10</v>
      </c>
      <c r="B8" s="3">
        <v>354169</v>
      </c>
      <c r="C8" s="3">
        <v>443</v>
      </c>
      <c r="D8" s="4">
        <f t="shared" si="0"/>
        <v>1.250815288746333E-3</v>
      </c>
      <c r="E8">
        <v>7</v>
      </c>
    </row>
    <row r="9" spans="1:5" x14ac:dyDescent="0.25">
      <c r="A9" s="5" t="s">
        <v>11</v>
      </c>
      <c r="B9" s="6">
        <v>361981</v>
      </c>
      <c r="C9" s="6">
        <v>419</v>
      </c>
      <c r="D9" s="7">
        <f t="shared" si="0"/>
        <v>1.1575193173122345E-3</v>
      </c>
      <c r="E9">
        <v>8</v>
      </c>
    </row>
    <row r="10" spans="1:5" x14ac:dyDescent="0.25">
      <c r="A10" s="2" t="s">
        <v>12</v>
      </c>
      <c r="B10" s="3">
        <v>368283</v>
      </c>
      <c r="C10" s="3">
        <v>379</v>
      </c>
      <c r="D10" s="4">
        <f t="shared" si="0"/>
        <v>1.0290999041497979E-3</v>
      </c>
      <c r="E10">
        <v>9</v>
      </c>
    </row>
    <row r="11" spans="1:5" x14ac:dyDescent="0.25">
      <c r="A11" s="5" t="s">
        <v>13</v>
      </c>
      <c r="B11" s="6">
        <v>378279</v>
      </c>
      <c r="C11" s="6">
        <v>342</v>
      </c>
      <c r="D11" s="7">
        <f t="shared" si="0"/>
        <v>9.0409459684518572E-4</v>
      </c>
      <c r="E11">
        <v>10</v>
      </c>
    </row>
    <row r="12" spans="1:5" x14ac:dyDescent="0.25">
      <c r="A12" s="2" t="s">
        <v>14</v>
      </c>
      <c r="B12" s="3">
        <v>383797</v>
      </c>
      <c r="C12" s="3">
        <v>352</v>
      </c>
      <c r="D12" s="4">
        <f t="shared" si="0"/>
        <v>9.1715151499360337E-4</v>
      </c>
      <c r="E12">
        <v>11</v>
      </c>
    </row>
    <row r="13" spans="1:5" x14ac:dyDescent="0.25">
      <c r="A13" s="5" t="s">
        <v>15</v>
      </c>
      <c r="B13" s="6">
        <v>386626</v>
      </c>
      <c r="C13" s="6">
        <v>394</v>
      </c>
      <c r="D13" s="7">
        <f t="shared" si="0"/>
        <v>1.0190726955766037E-3</v>
      </c>
      <c r="E13">
        <v>12</v>
      </c>
    </row>
    <row r="14" spans="1:5" x14ac:dyDescent="0.25">
      <c r="A14" s="2" t="s">
        <v>16</v>
      </c>
      <c r="B14" s="3">
        <v>388182</v>
      </c>
      <c r="C14" s="3">
        <v>386</v>
      </c>
      <c r="D14" s="4">
        <f t="shared" si="0"/>
        <v>9.9437892534944938E-4</v>
      </c>
      <c r="E14">
        <v>13</v>
      </c>
    </row>
    <row r="15" spans="1:5" x14ac:dyDescent="0.25">
      <c r="A15" s="5" t="s">
        <v>17</v>
      </c>
      <c r="B15" s="6">
        <v>394276</v>
      </c>
      <c r="C15" s="6">
        <v>416</v>
      </c>
      <c r="D15" s="7">
        <f t="shared" si="0"/>
        <v>1.0550984589475392E-3</v>
      </c>
      <c r="E15">
        <v>14</v>
      </c>
    </row>
    <row r="16" spans="1:5" x14ac:dyDescent="0.25">
      <c r="A16" s="2" t="s">
        <v>18</v>
      </c>
      <c r="B16" s="3">
        <v>397605</v>
      </c>
      <c r="C16" s="3">
        <v>682</v>
      </c>
      <c r="D16" s="4">
        <f t="shared" si="0"/>
        <v>1.7152701802039712E-3</v>
      </c>
      <c r="E16">
        <v>15</v>
      </c>
    </row>
    <row r="17" spans="1:5" x14ac:dyDescent="0.25">
      <c r="A17" s="5" t="s">
        <v>19</v>
      </c>
      <c r="B17" s="6">
        <v>398097</v>
      </c>
      <c r="C17" s="6">
        <v>853</v>
      </c>
      <c r="D17" s="7">
        <f t="shared" si="0"/>
        <v>2.1426938660678175E-3</v>
      </c>
      <c r="E17">
        <v>16</v>
      </c>
    </row>
    <row r="18" spans="1:5" x14ac:dyDescent="0.25">
      <c r="A18" s="2" t="s">
        <v>20</v>
      </c>
      <c r="B18" s="3">
        <v>433330</v>
      </c>
      <c r="C18" s="3">
        <v>983</v>
      </c>
      <c r="D18" s="4">
        <f t="shared" si="0"/>
        <v>2.2684789882999102E-3</v>
      </c>
      <c r="E18">
        <v>17</v>
      </c>
    </row>
    <row r="19" spans="1:5" x14ac:dyDescent="0.25">
      <c r="A19" s="5" t="s">
        <v>21</v>
      </c>
      <c r="B19" s="6">
        <v>437674</v>
      </c>
      <c r="C19" s="6">
        <v>1102</v>
      </c>
      <c r="D19" s="7">
        <f t="shared" si="0"/>
        <v>2.5178557556537512E-3</v>
      </c>
      <c r="E19">
        <v>18</v>
      </c>
    </row>
    <row r="20" spans="1:5" x14ac:dyDescent="0.25">
      <c r="A20" s="2" t="s">
        <v>22</v>
      </c>
      <c r="B20" s="3">
        <v>441191</v>
      </c>
      <c r="C20" s="3">
        <v>1233</v>
      </c>
      <c r="D20" s="4">
        <f t="shared" si="0"/>
        <v>2.7947079609511529E-3</v>
      </c>
      <c r="E20">
        <v>19</v>
      </c>
    </row>
    <row r="21" spans="1:5" x14ac:dyDescent="0.25">
      <c r="A21" s="5" t="s">
        <v>23</v>
      </c>
      <c r="B21" s="6">
        <v>443260</v>
      </c>
      <c r="C21" s="6">
        <v>1390</v>
      </c>
      <c r="D21" s="7">
        <f t="shared" si="0"/>
        <v>3.1358570590624014E-3</v>
      </c>
      <c r="E21">
        <v>20</v>
      </c>
    </row>
    <row r="22" spans="1:5" x14ac:dyDescent="0.25">
      <c r="A22" s="2" t="s">
        <v>24</v>
      </c>
      <c r="B22" s="3">
        <v>444898</v>
      </c>
      <c r="C22" s="3">
        <v>1423</v>
      </c>
      <c r="D22" s="4">
        <f t="shared" si="0"/>
        <v>3.1984859450930325E-3</v>
      </c>
      <c r="E22">
        <v>21</v>
      </c>
    </row>
    <row r="23" spans="1:5" x14ac:dyDescent="0.25">
      <c r="A23" s="5" t="s">
        <v>25</v>
      </c>
      <c r="B23" s="6">
        <v>450827</v>
      </c>
      <c r="C23" s="6">
        <v>1554</v>
      </c>
      <c r="D23" s="7">
        <f t="shared" si="0"/>
        <v>3.4469985160604844E-3</v>
      </c>
      <c r="E23">
        <v>22</v>
      </c>
    </row>
    <row r="24" spans="1:5" x14ac:dyDescent="0.25">
      <c r="A24" s="2" t="s">
        <v>26</v>
      </c>
      <c r="B24" s="3">
        <v>454346</v>
      </c>
      <c r="C24" s="3">
        <v>1681</v>
      </c>
      <c r="D24" s="4">
        <f t="shared" si="0"/>
        <v>3.6998234825441406E-3</v>
      </c>
      <c r="E24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7214-507C-43A6-B70F-575C2C155FBB}">
  <dimension ref="A1:D25"/>
  <sheetViews>
    <sheetView workbookViewId="0">
      <selection activeCell="F7" sqref="F7"/>
    </sheetView>
  </sheetViews>
  <sheetFormatPr defaultRowHeight="15" x14ac:dyDescent="0.25"/>
  <cols>
    <col min="1" max="1" width="29.28515625" customWidth="1"/>
    <col min="2" max="2" width="24.5703125" customWidth="1"/>
    <col min="3" max="3" width="33.140625" customWidth="1"/>
    <col min="4" max="4" width="27.42578125" customWidth="1"/>
  </cols>
  <sheetData>
    <row r="1" spans="1:4" ht="15.75" customHeight="1" x14ac:dyDescent="0.25">
      <c r="A1" s="8" t="s">
        <v>27</v>
      </c>
      <c r="B1" s="8" t="s">
        <v>28</v>
      </c>
      <c r="C1" s="8" t="s">
        <v>29</v>
      </c>
      <c r="D1" s="8" t="s">
        <v>30</v>
      </c>
    </row>
    <row r="2" spans="1:4" x14ac:dyDescent="0.25">
      <c r="A2" s="2" t="s">
        <v>31</v>
      </c>
      <c r="B2" s="4"/>
      <c r="C2" s="4">
        <v>2.32E-3</v>
      </c>
    </row>
    <row r="3" spans="1:4" x14ac:dyDescent="0.25">
      <c r="A3" s="5" t="s">
        <v>32</v>
      </c>
      <c r="B3" s="7">
        <v>1.5900000000000001E-3</v>
      </c>
      <c r="C3" s="7">
        <v>2.5799999999999998E-3</v>
      </c>
      <c r="D3" s="7">
        <v>-9.8999999999999999E-4</v>
      </c>
    </row>
    <row r="4" spans="1:4" x14ac:dyDescent="0.25">
      <c r="A4" s="2" t="s">
        <v>33</v>
      </c>
      <c r="B4" s="4">
        <v>1.58E-3</v>
      </c>
      <c r="C4" s="4">
        <v>2.3600000000000001E-3</v>
      </c>
      <c r="D4" s="4">
        <v>-7.7999999999999999E-4</v>
      </c>
    </row>
    <row r="5" spans="1:4" x14ac:dyDescent="0.25">
      <c r="A5" s="5" t="s">
        <v>34</v>
      </c>
      <c r="B5" s="7">
        <v>1.33E-3</v>
      </c>
      <c r="C5" s="7">
        <v>2.2200000000000002E-3</v>
      </c>
      <c r="D5" s="7">
        <v>-8.8999999999999995E-4</v>
      </c>
    </row>
    <row r="6" spans="1:4" x14ac:dyDescent="0.25">
      <c r="A6" s="2" t="s">
        <v>35</v>
      </c>
      <c r="B6" s="4">
        <v>1.4300000000000001E-3</v>
      </c>
      <c r="C6" s="4">
        <v>1.97E-3</v>
      </c>
      <c r="D6" s="4">
        <v>-5.4000000000000001E-4</v>
      </c>
    </row>
    <row r="7" spans="1:4" x14ac:dyDescent="0.25">
      <c r="A7" s="5" t="s">
        <v>36</v>
      </c>
      <c r="B7" s="7">
        <v>1.48E-3</v>
      </c>
      <c r="C7" s="7">
        <v>1.74E-3</v>
      </c>
      <c r="D7" s="7">
        <v>-2.5999999999999998E-4</v>
      </c>
    </row>
    <row r="8" spans="1:4" x14ac:dyDescent="0.25">
      <c r="A8" s="2" t="s">
        <v>37</v>
      </c>
      <c r="B8" s="4">
        <v>1.33E-3</v>
      </c>
      <c r="C8" s="4">
        <v>1.6999999999999999E-3</v>
      </c>
      <c r="D8" s="4">
        <v>-3.6999999999999999E-4</v>
      </c>
    </row>
    <row r="9" spans="1:4" x14ac:dyDescent="0.25">
      <c r="A9" s="5" t="s">
        <v>38</v>
      </c>
      <c r="B9" s="7">
        <v>1.25E-3</v>
      </c>
      <c r="C9" s="7">
        <v>1.4499999999999999E-3</v>
      </c>
      <c r="D9" s="7">
        <v>-2.0000000000000001E-4</v>
      </c>
    </row>
    <row r="10" spans="1:4" x14ac:dyDescent="0.25">
      <c r="A10" s="2" t="s">
        <v>39</v>
      </c>
      <c r="B10" s="4">
        <v>1.16E-3</v>
      </c>
      <c r="C10" s="4">
        <v>1.4E-3</v>
      </c>
      <c r="D10" s="4">
        <v>-2.4000000000000001E-4</v>
      </c>
    </row>
    <row r="11" spans="1:4" x14ac:dyDescent="0.25">
      <c r="A11" s="5" t="s">
        <v>40</v>
      </c>
      <c r="B11" s="7">
        <v>1.0300000000000001E-3</v>
      </c>
      <c r="C11" s="7">
        <v>1.34E-3</v>
      </c>
      <c r="D11" s="7">
        <v>-3.1E-4</v>
      </c>
    </row>
    <row r="12" spans="1:4" x14ac:dyDescent="0.25">
      <c r="A12" s="2" t="s">
        <v>41</v>
      </c>
      <c r="B12" s="4">
        <v>8.9999999999999998E-4</v>
      </c>
      <c r="C12" s="4">
        <v>1.3500000000000001E-3</v>
      </c>
      <c r="D12" s="4">
        <v>-4.4999999999999999E-4</v>
      </c>
    </row>
    <row r="13" spans="1:4" x14ac:dyDescent="0.25">
      <c r="A13" s="5" t="s">
        <v>42</v>
      </c>
      <c r="B13" s="7">
        <v>9.2000000000000003E-4</v>
      </c>
      <c r="C13" s="7">
        <v>1.3699999999999999E-3</v>
      </c>
      <c r="D13" s="7">
        <v>-4.4999999999999999E-4</v>
      </c>
    </row>
    <row r="14" spans="1:4" x14ac:dyDescent="0.25">
      <c r="A14" s="2" t="s">
        <v>43</v>
      </c>
      <c r="B14" s="4">
        <v>1.0200000000000001E-3</v>
      </c>
      <c r="C14" s="4">
        <v>1.58E-3</v>
      </c>
      <c r="D14" s="4">
        <v>-5.5999999999999995E-4</v>
      </c>
    </row>
    <row r="15" spans="1:4" x14ac:dyDescent="0.25">
      <c r="A15" s="5" t="s">
        <v>44</v>
      </c>
      <c r="B15" s="7">
        <v>9.8999999999999999E-4</v>
      </c>
      <c r="C15" s="7">
        <v>1.48E-3</v>
      </c>
      <c r="D15" s="7">
        <v>-4.8999999999999998E-4</v>
      </c>
    </row>
    <row r="16" spans="1:4" x14ac:dyDescent="0.25">
      <c r="A16" s="2" t="s">
        <v>45</v>
      </c>
      <c r="B16" s="4">
        <v>1.06E-3</v>
      </c>
      <c r="C16" s="4">
        <v>1.75E-3</v>
      </c>
      <c r="D16" s="4">
        <v>-6.8999999999999997E-4</v>
      </c>
    </row>
    <row r="17" spans="1:4" x14ac:dyDescent="0.25">
      <c r="A17" s="5" t="s">
        <v>46</v>
      </c>
      <c r="B17" s="7">
        <v>1.72E-3</v>
      </c>
      <c r="C17" s="7">
        <v>1.7700000000000001E-3</v>
      </c>
      <c r="D17" s="7">
        <v>-5.0000000000000097E-5</v>
      </c>
    </row>
    <row r="18" spans="1:4" x14ac:dyDescent="0.25">
      <c r="A18" s="2" t="s">
        <v>47</v>
      </c>
      <c r="B18" s="4">
        <v>2.14E-3</v>
      </c>
      <c r="C18" s="4">
        <v>2.1299999999999999E-3</v>
      </c>
      <c r="D18" s="4">
        <v>1.0000000000000001E-5</v>
      </c>
    </row>
    <row r="19" spans="1:4" x14ac:dyDescent="0.25">
      <c r="A19" s="5" t="s">
        <v>48</v>
      </c>
      <c r="B19" s="7">
        <v>2.2699999999999999E-3</v>
      </c>
      <c r="C19" s="7">
        <v>2.2200000000000002E-3</v>
      </c>
      <c r="D19" s="7">
        <v>4.9999999999999697E-5</v>
      </c>
    </row>
    <row r="20" spans="1:4" x14ac:dyDescent="0.25">
      <c r="A20" s="2" t="s">
        <v>49</v>
      </c>
      <c r="B20" s="4">
        <v>2.5200000000000001E-3</v>
      </c>
      <c r="C20" s="4">
        <v>2.3800000000000002E-3</v>
      </c>
      <c r="D20" s="4">
        <v>1.3999999999999999E-4</v>
      </c>
    </row>
    <row r="21" spans="1:4" x14ac:dyDescent="0.25">
      <c r="A21" s="5" t="s">
        <v>50</v>
      </c>
      <c r="B21" s="7">
        <v>2.7899999999999999E-3</v>
      </c>
      <c r="C21" s="7">
        <v>2.4599999999999999E-3</v>
      </c>
      <c r="D21" s="7">
        <v>3.3E-4</v>
      </c>
    </row>
    <row r="22" spans="1:4" x14ac:dyDescent="0.25">
      <c r="A22" s="2" t="s">
        <v>51</v>
      </c>
      <c r="B22" s="4">
        <v>3.14E-3</v>
      </c>
      <c r="C22" s="4">
        <v>2.3600000000000001E-3</v>
      </c>
      <c r="D22" s="4">
        <v>7.7999999999999999E-4</v>
      </c>
    </row>
    <row r="23" spans="1:4" x14ac:dyDescent="0.25">
      <c r="A23" s="5" t="s">
        <v>52</v>
      </c>
      <c r="B23" s="7">
        <v>3.2000000000000002E-3</v>
      </c>
      <c r="C23" s="7">
        <v>2.48E-3</v>
      </c>
      <c r="D23" s="7">
        <v>7.2000000000000005E-4</v>
      </c>
    </row>
    <row r="24" spans="1:4" x14ac:dyDescent="0.25">
      <c r="A24" s="2" t="s">
        <v>53</v>
      </c>
      <c r="B24" s="4">
        <v>3.4499999999999999E-3</v>
      </c>
      <c r="C24" s="4">
        <v>2.6099999999999999E-3</v>
      </c>
      <c r="D24" s="4">
        <v>8.4000000000000003E-4</v>
      </c>
    </row>
    <row r="25" spans="1:4" x14ac:dyDescent="0.25">
      <c r="A25" s="5" t="s">
        <v>54</v>
      </c>
      <c r="B25" s="7">
        <v>3.7000000000000002E-3</v>
      </c>
      <c r="C25" s="7">
        <v>2.5799999999999998E-3</v>
      </c>
      <c r="D25" s="7">
        <v>1.1199999999999999E-3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6220-CB6E-4F4D-9A49-E8256E206731}">
  <dimension ref="A1:C24"/>
  <sheetViews>
    <sheetView workbookViewId="0">
      <selection activeCell="F10" sqref="F10"/>
    </sheetView>
  </sheetViews>
  <sheetFormatPr defaultRowHeight="15" x14ac:dyDescent="0.25"/>
  <cols>
    <col min="1" max="1" width="18.85546875" customWidth="1"/>
    <col min="2" max="2" width="18.5703125" customWidth="1"/>
    <col min="3" max="3" width="24.85546875" customWidth="1"/>
  </cols>
  <sheetData>
    <row r="1" spans="1:3" ht="19.5" customHeight="1" x14ac:dyDescent="0.25">
      <c r="A1" s="8" t="s">
        <v>27</v>
      </c>
      <c r="B1" s="8" t="s">
        <v>55</v>
      </c>
      <c r="C1" s="8" t="s">
        <v>28</v>
      </c>
    </row>
    <row r="2" spans="1:3" x14ac:dyDescent="0.25">
      <c r="A2" s="2" t="s">
        <v>32</v>
      </c>
      <c r="B2" s="9">
        <v>2.5000000000000001E-3</v>
      </c>
      <c r="C2" s="4">
        <v>1.5900000000000001E-3</v>
      </c>
    </row>
    <row r="3" spans="1:3" x14ac:dyDescent="0.25">
      <c r="A3" s="5" t="s">
        <v>33</v>
      </c>
      <c r="B3" s="10">
        <v>2.5000000000000001E-3</v>
      </c>
      <c r="C3" s="7">
        <v>1.58E-3</v>
      </c>
    </row>
    <row r="4" spans="1:3" x14ac:dyDescent="0.25">
      <c r="A4" s="2" t="s">
        <v>34</v>
      </c>
      <c r="B4" s="9">
        <v>2.5000000000000001E-3</v>
      </c>
      <c r="C4" s="4">
        <v>1.33E-3</v>
      </c>
    </row>
    <row r="5" spans="1:3" x14ac:dyDescent="0.25">
      <c r="A5" s="5" t="s">
        <v>35</v>
      </c>
      <c r="B5" s="10">
        <v>2.5000000000000001E-3</v>
      </c>
      <c r="C5" s="7">
        <v>1.4300000000000001E-3</v>
      </c>
    </row>
    <row r="6" spans="1:3" x14ac:dyDescent="0.25">
      <c r="A6" s="2" t="s">
        <v>36</v>
      </c>
      <c r="B6" s="9">
        <v>2.5000000000000001E-3</v>
      </c>
      <c r="C6" s="4">
        <v>1.48E-3</v>
      </c>
    </row>
    <row r="7" spans="1:3" x14ac:dyDescent="0.25">
      <c r="A7" s="5" t="s">
        <v>37</v>
      </c>
      <c r="B7" s="10">
        <v>2.5000000000000001E-3</v>
      </c>
      <c r="C7" s="7">
        <v>1.33E-3</v>
      </c>
    </row>
    <row r="8" spans="1:3" x14ac:dyDescent="0.25">
      <c r="A8" s="2" t="s">
        <v>38</v>
      </c>
      <c r="B8" s="9">
        <v>2.5000000000000001E-3</v>
      </c>
      <c r="C8" s="4">
        <v>1.25E-3</v>
      </c>
    </row>
    <row r="9" spans="1:3" x14ac:dyDescent="0.25">
      <c r="A9" s="5" t="s">
        <v>39</v>
      </c>
      <c r="B9" s="10">
        <v>5.0000000000000001E-3</v>
      </c>
      <c r="C9" s="7">
        <v>1.16E-3</v>
      </c>
    </row>
    <row r="10" spans="1:3" x14ac:dyDescent="0.25">
      <c r="A10" s="2" t="s">
        <v>40</v>
      </c>
      <c r="B10" s="9">
        <v>1.4999999999999999E-2</v>
      </c>
      <c r="C10" s="4">
        <v>1.0300000000000001E-3</v>
      </c>
    </row>
    <row r="11" spans="1:3" x14ac:dyDescent="0.25">
      <c r="A11" s="5" t="s">
        <v>41</v>
      </c>
      <c r="B11" s="10">
        <v>3.2500000000000001E-2</v>
      </c>
      <c r="C11" s="7">
        <v>8.9999999999999998E-4</v>
      </c>
    </row>
    <row r="12" spans="1:3" x14ac:dyDescent="0.25">
      <c r="A12" s="2" t="s">
        <v>42</v>
      </c>
      <c r="B12" s="9">
        <v>4.2500000000000003E-2</v>
      </c>
      <c r="C12" s="4">
        <v>9.2000000000000003E-4</v>
      </c>
    </row>
    <row r="13" spans="1:3" x14ac:dyDescent="0.25">
      <c r="A13" s="5" t="s">
        <v>43</v>
      </c>
      <c r="B13" s="10">
        <v>4.4999999999999998E-2</v>
      </c>
      <c r="C13" s="7">
        <v>1.0200000000000001E-3</v>
      </c>
    </row>
    <row r="14" spans="1:3" x14ac:dyDescent="0.25">
      <c r="A14" s="2" t="s">
        <v>44</v>
      </c>
      <c r="B14" s="9">
        <v>4.7500000000000001E-2</v>
      </c>
      <c r="C14" s="4">
        <v>9.8999999999999999E-4</v>
      </c>
    </row>
    <row r="15" spans="1:3" x14ac:dyDescent="0.25">
      <c r="A15" s="5" t="s">
        <v>45</v>
      </c>
      <c r="B15" s="10">
        <v>0.05</v>
      </c>
      <c r="C15" s="7">
        <v>1.06E-3</v>
      </c>
    </row>
    <row r="16" spans="1:3" x14ac:dyDescent="0.25">
      <c r="A16" s="2" t="s">
        <v>46</v>
      </c>
      <c r="B16" s="9">
        <v>0.05</v>
      </c>
      <c r="C16" s="4">
        <v>1.72E-3</v>
      </c>
    </row>
    <row r="17" spans="1:3" x14ac:dyDescent="0.25">
      <c r="A17" s="5" t="s">
        <v>47</v>
      </c>
      <c r="B17" s="10">
        <v>0.05</v>
      </c>
      <c r="C17" s="7">
        <v>2.14E-3</v>
      </c>
    </row>
    <row r="18" spans="1:3" x14ac:dyDescent="0.25">
      <c r="A18" s="2" t="s">
        <v>48</v>
      </c>
      <c r="B18" s="9">
        <v>4.7500000000000001E-2</v>
      </c>
      <c r="C18" s="4">
        <v>2.2699999999999999E-3</v>
      </c>
    </row>
    <row r="19" spans="1:3" x14ac:dyDescent="0.25">
      <c r="A19" s="5" t="s">
        <v>49</v>
      </c>
      <c r="B19" s="10">
        <v>4.2500000000000003E-2</v>
      </c>
      <c r="C19" s="7">
        <v>2.5200000000000001E-3</v>
      </c>
    </row>
    <row r="20" spans="1:3" x14ac:dyDescent="0.25">
      <c r="A20" s="2" t="s">
        <v>50</v>
      </c>
      <c r="B20" s="9">
        <v>3.2500000000000001E-2</v>
      </c>
      <c r="C20" s="4">
        <v>2.7899999999999999E-3</v>
      </c>
    </row>
    <row r="21" spans="1:3" x14ac:dyDescent="0.25">
      <c r="A21" s="5" t="s">
        <v>51</v>
      </c>
      <c r="B21" s="10">
        <v>2.75E-2</v>
      </c>
      <c r="C21" s="7">
        <v>3.14E-3</v>
      </c>
    </row>
    <row r="22" spans="1:3" x14ac:dyDescent="0.25">
      <c r="A22" s="2" t="s">
        <v>52</v>
      </c>
      <c r="B22" s="9">
        <v>2.75E-2</v>
      </c>
      <c r="C22" s="4">
        <v>3.2000000000000002E-3</v>
      </c>
    </row>
    <row r="23" spans="1:3" x14ac:dyDescent="0.25">
      <c r="A23" s="5" t="s">
        <v>53</v>
      </c>
      <c r="B23" s="10">
        <v>2.5000000000000001E-2</v>
      </c>
      <c r="C23" s="7">
        <v>3.4499999999999999E-3</v>
      </c>
    </row>
    <row r="24" spans="1:3" x14ac:dyDescent="0.25">
      <c r="A24" s="2" t="s">
        <v>54</v>
      </c>
      <c r="B24" s="9">
        <v>2.2499999999999999E-2</v>
      </c>
      <c r="C24" s="4">
        <v>3.7000000000000002E-3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FD89-F3D6-469E-B29B-A789CB564997}">
  <dimension ref="A1:E7"/>
  <sheetViews>
    <sheetView workbookViewId="0">
      <selection activeCell="C20" sqref="C20"/>
    </sheetView>
  </sheetViews>
  <sheetFormatPr defaultRowHeight="15" x14ac:dyDescent="0.25"/>
  <cols>
    <col min="1" max="1" width="20.28515625" customWidth="1"/>
    <col min="2" max="2" width="23.42578125" customWidth="1"/>
    <col min="3" max="3" width="25.7109375" customWidth="1"/>
    <col min="4" max="4" width="28" customWidth="1"/>
    <col min="5" max="5" width="23.42578125" customWidth="1"/>
  </cols>
  <sheetData>
    <row r="1" spans="1:5" ht="20.25" customHeight="1" x14ac:dyDescent="0.25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</row>
    <row r="2" spans="1:5" x14ac:dyDescent="0.25">
      <c r="A2" s="2" t="s">
        <v>61</v>
      </c>
      <c r="B2" s="11">
        <v>0.10199999999999999</v>
      </c>
      <c r="C2" s="12">
        <v>104.7</v>
      </c>
      <c r="D2" s="11">
        <v>0.106</v>
      </c>
      <c r="E2" s="12">
        <v>154.1</v>
      </c>
    </row>
    <row r="3" spans="1:5" x14ac:dyDescent="0.25">
      <c r="A3" s="5" t="s">
        <v>62</v>
      </c>
      <c r="B3" s="13">
        <v>0.11600000000000001</v>
      </c>
      <c r="C3" s="14">
        <v>119.1</v>
      </c>
      <c r="D3" s="13">
        <v>0.14299999999999999</v>
      </c>
      <c r="E3" s="14">
        <v>208.7</v>
      </c>
    </row>
    <row r="4" spans="1:5" x14ac:dyDescent="0.25">
      <c r="A4" s="2" t="s">
        <v>63</v>
      </c>
      <c r="B4" s="11">
        <v>0.28999999999999998</v>
      </c>
      <c r="C4" s="12">
        <v>297.7</v>
      </c>
      <c r="D4" s="11">
        <v>0.26600000000000001</v>
      </c>
      <c r="E4" s="12">
        <v>388.5</v>
      </c>
    </row>
    <row r="5" spans="1:5" x14ac:dyDescent="0.25">
      <c r="A5" s="5" t="s">
        <v>64</v>
      </c>
      <c r="B5" s="13">
        <v>0.29099999999999998</v>
      </c>
      <c r="C5" s="14">
        <v>298.2</v>
      </c>
      <c r="D5" s="13">
        <v>0.374</v>
      </c>
      <c r="E5" s="14">
        <v>545.9</v>
      </c>
    </row>
    <row r="6" spans="1:5" x14ac:dyDescent="0.25">
      <c r="A6" s="2" t="s">
        <v>65</v>
      </c>
      <c r="B6" s="11">
        <v>8.1000000000000003E-2</v>
      </c>
      <c r="C6" s="12">
        <v>82.6</v>
      </c>
      <c r="D6" s="11">
        <v>0.10299999999999999</v>
      </c>
      <c r="E6" s="12">
        <v>150.6</v>
      </c>
    </row>
    <row r="7" spans="1:5" x14ac:dyDescent="0.25">
      <c r="A7" s="5" t="s">
        <v>66</v>
      </c>
      <c r="B7" s="13">
        <v>0.12</v>
      </c>
      <c r="C7" s="14">
        <v>123.1</v>
      </c>
      <c r="D7" s="13">
        <v>8.9999999999999993E-3</v>
      </c>
      <c r="E7" s="14">
        <v>12.6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EA43-D2F3-4BA0-81C2-CE73693B418F}">
  <dimension ref="A1:G21"/>
  <sheetViews>
    <sheetView workbookViewId="0">
      <selection activeCell="J22" sqref="J22"/>
    </sheetView>
  </sheetViews>
  <sheetFormatPr defaultRowHeight="15" x14ac:dyDescent="0.25"/>
  <cols>
    <col min="1" max="1" width="16.28515625" customWidth="1"/>
    <col min="2" max="2" width="23.28515625" customWidth="1"/>
    <col min="3" max="3" width="19" customWidth="1"/>
    <col min="4" max="4" width="18.42578125" customWidth="1"/>
    <col min="5" max="5" width="22.85546875" customWidth="1"/>
    <col min="6" max="6" width="18.85546875" customWidth="1"/>
    <col min="7" max="7" width="18.28515625" customWidth="1"/>
  </cols>
  <sheetData>
    <row r="1" spans="1:7" ht="17.25" customHeight="1" x14ac:dyDescent="0.25">
      <c r="A1" s="8" t="s">
        <v>0</v>
      </c>
      <c r="B1" s="8" t="s">
        <v>67</v>
      </c>
      <c r="C1" s="8" t="s">
        <v>68</v>
      </c>
      <c r="D1" s="8" t="s">
        <v>69</v>
      </c>
      <c r="E1" s="8" t="s">
        <v>70</v>
      </c>
      <c r="F1" s="8" t="s">
        <v>71</v>
      </c>
      <c r="G1" s="8" t="s">
        <v>72</v>
      </c>
    </row>
    <row r="2" spans="1:7" x14ac:dyDescent="0.25">
      <c r="A2" s="2" t="s">
        <v>4</v>
      </c>
      <c r="B2" s="3">
        <v>4834390</v>
      </c>
      <c r="C2" s="3">
        <v>12981</v>
      </c>
      <c r="D2" s="9">
        <f t="shared" ref="D2:D21" si="0">C2/B2</f>
        <v>2.6851371114039206E-3</v>
      </c>
      <c r="E2" s="3">
        <v>2049515</v>
      </c>
      <c r="F2" s="3">
        <v>2416</v>
      </c>
      <c r="G2" s="9">
        <f t="shared" ref="G2:G21" si="1">F2/E2</f>
        <v>1.1788154758564831E-3</v>
      </c>
    </row>
    <row r="3" spans="1:7" x14ac:dyDescent="0.25">
      <c r="A3" s="5" t="s">
        <v>5</v>
      </c>
      <c r="B3" s="6">
        <v>4866330</v>
      </c>
      <c r="C3" s="6">
        <v>12049</v>
      </c>
      <c r="D3" s="10">
        <f t="shared" si="0"/>
        <v>2.4759932022694721E-3</v>
      </c>
      <c r="E3" s="6">
        <v>2063420</v>
      </c>
      <c r="F3" s="6">
        <v>2301</v>
      </c>
      <c r="G3" s="10">
        <f t="shared" si="1"/>
        <v>1.1151389440831241E-3</v>
      </c>
    </row>
    <row r="4" spans="1:7" x14ac:dyDescent="0.25">
      <c r="A4" s="2" t="s">
        <v>6</v>
      </c>
      <c r="B4" s="3">
        <v>4951839</v>
      </c>
      <c r="C4" s="3">
        <v>11386</v>
      </c>
      <c r="D4" s="9">
        <f t="shared" si="0"/>
        <v>2.2993477776640154E-3</v>
      </c>
      <c r="E4" s="3">
        <v>2111669</v>
      </c>
      <c r="F4" s="3">
        <v>2135</v>
      </c>
      <c r="G4" s="9">
        <f t="shared" si="1"/>
        <v>1.0110486065761253E-3</v>
      </c>
    </row>
    <row r="5" spans="1:7" x14ac:dyDescent="0.25">
      <c r="A5" s="5" t="s">
        <v>7</v>
      </c>
      <c r="B5" s="6">
        <v>4961638</v>
      </c>
      <c r="C5" s="6">
        <v>10832</v>
      </c>
      <c r="D5" s="10">
        <f t="shared" si="0"/>
        <v>2.1831500000604638E-3</v>
      </c>
      <c r="E5" s="6">
        <v>2117979</v>
      </c>
      <c r="F5" s="6">
        <v>1941</v>
      </c>
      <c r="G5" s="10">
        <f t="shared" si="1"/>
        <v>9.1643968141327185E-4</v>
      </c>
    </row>
    <row r="6" spans="1:7" x14ac:dyDescent="0.25">
      <c r="A6" s="2" t="s">
        <v>8</v>
      </c>
      <c r="B6" s="3">
        <v>5010371</v>
      </c>
      <c r="C6" s="3">
        <v>9594</v>
      </c>
      <c r="D6" s="9">
        <f t="shared" si="0"/>
        <v>1.9148282632164364E-3</v>
      </c>
      <c r="E6" s="3">
        <v>2139575</v>
      </c>
      <c r="F6" s="3">
        <v>1632</v>
      </c>
      <c r="G6" s="9">
        <f t="shared" si="1"/>
        <v>7.6276830678989984E-4</v>
      </c>
    </row>
    <row r="7" spans="1:7" x14ac:dyDescent="0.25">
      <c r="A7" s="5" t="s">
        <v>9</v>
      </c>
      <c r="B7" s="6">
        <v>5041261</v>
      </c>
      <c r="C7" s="6">
        <v>9130</v>
      </c>
      <c r="D7" s="10">
        <f t="shared" si="0"/>
        <v>1.8110548134682969E-3</v>
      </c>
      <c r="E7" s="6">
        <v>2158926</v>
      </c>
      <c r="F7" s="6">
        <v>1549</v>
      </c>
      <c r="G7" s="10">
        <f t="shared" si="1"/>
        <v>7.1748637980180885E-4</v>
      </c>
    </row>
    <row r="8" spans="1:7" x14ac:dyDescent="0.25">
      <c r="A8" s="2" t="s">
        <v>10</v>
      </c>
      <c r="B8" s="3">
        <v>5069516</v>
      </c>
      <c r="C8" s="3">
        <v>8443</v>
      </c>
      <c r="D8" s="9">
        <f t="shared" si="0"/>
        <v>1.6654449852806462E-3</v>
      </c>
      <c r="E8" s="3">
        <v>2174192</v>
      </c>
      <c r="F8" s="3">
        <v>1352</v>
      </c>
      <c r="G8" s="9">
        <f t="shared" si="1"/>
        <v>6.2184020546483473E-4</v>
      </c>
    </row>
    <row r="9" spans="1:7" x14ac:dyDescent="0.25">
      <c r="A9" s="5" t="s">
        <v>11</v>
      </c>
      <c r="B9" s="6">
        <v>5093049</v>
      </c>
      <c r="C9" s="6">
        <v>7856</v>
      </c>
      <c r="D9" s="10">
        <f t="shared" si="0"/>
        <v>1.5424944861123465E-3</v>
      </c>
      <c r="E9" s="6">
        <v>2185317</v>
      </c>
      <c r="F9" s="6">
        <v>1249</v>
      </c>
      <c r="G9" s="10">
        <f t="shared" si="1"/>
        <v>5.715417946229311E-4</v>
      </c>
    </row>
    <row r="10" spans="1:7" x14ac:dyDescent="0.25">
      <c r="A10" s="2" t="s">
        <v>12</v>
      </c>
      <c r="B10" s="3">
        <v>5115951</v>
      </c>
      <c r="C10" s="3">
        <v>7379</v>
      </c>
      <c r="D10" s="9">
        <f t="shared" si="0"/>
        <v>1.4423515784259856E-3</v>
      </c>
      <c r="E10" s="3">
        <v>2196688</v>
      </c>
      <c r="F10" s="3">
        <v>1282</v>
      </c>
      <c r="G10" s="9">
        <f t="shared" si="1"/>
        <v>5.8360586482923379E-4</v>
      </c>
    </row>
    <row r="11" spans="1:7" x14ac:dyDescent="0.25">
      <c r="A11" s="5" t="s">
        <v>13</v>
      </c>
      <c r="B11" s="6">
        <v>5104211</v>
      </c>
      <c r="C11" s="6">
        <v>7305</v>
      </c>
      <c r="D11" s="10">
        <f t="shared" si="0"/>
        <v>1.4311712427248794E-3</v>
      </c>
      <c r="E11" s="6">
        <v>2196117</v>
      </c>
      <c r="F11" s="6">
        <v>1318</v>
      </c>
      <c r="G11" s="10">
        <f t="shared" si="1"/>
        <v>6.0015017414828079E-4</v>
      </c>
    </row>
    <row r="12" spans="1:7" x14ac:dyDescent="0.25">
      <c r="A12" s="2" t="s">
        <v>14</v>
      </c>
      <c r="B12" s="3">
        <v>5106262</v>
      </c>
      <c r="C12" s="3">
        <v>7740</v>
      </c>
      <c r="D12" s="9">
        <f t="shared" si="0"/>
        <v>1.5157859114945532E-3</v>
      </c>
      <c r="E12" s="3">
        <v>2202656</v>
      </c>
      <c r="F12" s="3">
        <v>1630</v>
      </c>
      <c r="G12" s="9">
        <f t="shared" si="1"/>
        <v>7.4001569014862055E-4</v>
      </c>
    </row>
    <row r="13" spans="1:7" x14ac:dyDescent="0.25">
      <c r="A13" s="5" t="s">
        <v>15</v>
      </c>
      <c r="B13" s="6">
        <v>5095442</v>
      </c>
      <c r="C13" s="6">
        <v>7618</v>
      </c>
      <c r="D13" s="10">
        <f t="shared" si="0"/>
        <v>1.4950616649154283E-3</v>
      </c>
      <c r="E13" s="6">
        <v>2200024</v>
      </c>
      <c r="F13" s="6">
        <v>1639</v>
      </c>
      <c r="G13" s="10">
        <f t="shared" si="1"/>
        <v>7.4499187281593289E-4</v>
      </c>
    </row>
    <row r="14" spans="1:7" x14ac:dyDescent="0.25">
      <c r="A14" s="2" t="s">
        <v>16</v>
      </c>
      <c r="B14" s="3">
        <v>5094157</v>
      </c>
      <c r="C14" s="3">
        <v>7610</v>
      </c>
      <c r="D14" s="9">
        <f t="shared" si="0"/>
        <v>1.4938683672293571E-3</v>
      </c>
      <c r="E14" s="3">
        <v>2202538</v>
      </c>
      <c r="F14" s="3">
        <v>1829</v>
      </c>
      <c r="G14" s="9">
        <f t="shared" si="1"/>
        <v>8.3040565020898614E-4</v>
      </c>
    </row>
    <row r="15" spans="1:7" x14ac:dyDescent="0.25">
      <c r="A15" s="5" t="s">
        <v>17</v>
      </c>
      <c r="B15" s="6">
        <v>5065516</v>
      </c>
      <c r="C15" s="6">
        <v>8140</v>
      </c>
      <c r="D15" s="10">
        <f t="shared" si="0"/>
        <v>1.6069438927840717E-3</v>
      </c>
      <c r="E15" s="6">
        <v>2194643</v>
      </c>
      <c r="F15" s="6">
        <v>2123</v>
      </c>
      <c r="G15" s="10">
        <f t="shared" si="1"/>
        <v>9.673555106684777E-4</v>
      </c>
    </row>
    <row r="16" spans="1:7" x14ac:dyDescent="0.25">
      <c r="A16" s="2" t="s">
        <v>18</v>
      </c>
      <c r="B16" s="3">
        <v>5041510</v>
      </c>
      <c r="C16" s="3">
        <v>9057</v>
      </c>
      <c r="D16" s="9">
        <f t="shared" si="0"/>
        <v>1.7964855767418888E-3</v>
      </c>
      <c r="E16" s="3">
        <v>2188795</v>
      </c>
      <c r="F16" s="3">
        <v>2621</v>
      </c>
      <c r="G16" s="9">
        <f t="shared" si="1"/>
        <v>1.1974625307532227E-3</v>
      </c>
    </row>
    <row r="17" spans="1:7" x14ac:dyDescent="0.25">
      <c r="A17" s="5" t="s">
        <v>19</v>
      </c>
      <c r="B17" s="6">
        <v>5030529</v>
      </c>
      <c r="C17" s="6">
        <v>9356</v>
      </c>
      <c r="D17" s="10">
        <f t="shared" si="0"/>
        <v>1.8598441635064623E-3</v>
      </c>
      <c r="E17" s="6">
        <v>2188754</v>
      </c>
      <c r="F17" s="6">
        <v>2873</v>
      </c>
      <c r="G17" s="10">
        <f t="shared" si="1"/>
        <v>1.312618960376543E-3</v>
      </c>
    </row>
    <row r="18" spans="1:7" x14ac:dyDescent="0.25">
      <c r="A18" s="2" t="s">
        <v>20</v>
      </c>
      <c r="B18" s="3">
        <v>5032448</v>
      </c>
      <c r="C18" s="3">
        <v>9640</v>
      </c>
      <c r="D18" s="9">
        <f t="shared" si="0"/>
        <v>1.9155687252009361E-3</v>
      </c>
      <c r="E18" s="3">
        <v>2194751</v>
      </c>
      <c r="F18" s="3">
        <v>3169</v>
      </c>
      <c r="G18" s="9">
        <f t="shared" si="1"/>
        <v>1.44389955853762E-3</v>
      </c>
    </row>
    <row r="19" spans="1:7" x14ac:dyDescent="0.25">
      <c r="A19" s="5" t="s">
        <v>21</v>
      </c>
      <c r="B19" s="6">
        <v>5020575</v>
      </c>
      <c r="C19" s="6">
        <v>10218</v>
      </c>
      <c r="D19" s="10">
        <f t="shared" si="0"/>
        <v>2.0352250489236792E-3</v>
      </c>
      <c r="E19" s="6">
        <v>2195026</v>
      </c>
      <c r="F19" s="6">
        <v>3632</v>
      </c>
      <c r="G19" s="10">
        <f t="shared" si="1"/>
        <v>1.6546501043723401E-3</v>
      </c>
    </row>
    <row r="20" spans="1:7" x14ac:dyDescent="0.25">
      <c r="A20" s="2" t="s">
        <v>22</v>
      </c>
      <c r="B20" s="3">
        <v>5006545</v>
      </c>
      <c r="C20" s="3">
        <v>10959</v>
      </c>
      <c r="D20" s="9">
        <f t="shared" si="0"/>
        <v>2.1889346844979922E-3</v>
      </c>
      <c r="E20" s="3">
        <v>2191844</v>
      </c>
      <c r="F20" s="3">
        <v>4141</v>
      </c>
      <c r="G20" s="9">
        <f t="shared" si="1"/>
        <v>1.8892767915964822E-3</v>
      </c>
    </row>
    <row r="21" spans="1:7" x14ac:dyDescent="0.25">
      <c r="A21" s="5" t="s">
        <v>23</v>
      </c>
      <c r="B21" s="6">
        <v>4983931</v>
      </c>
      <c r="C21" s="6">
        <v>11003</v>
      </c>
      <c r="D21" s="10">
        <f t="shared" si="0"/>
        <v>2.2076950904817904E-3</v>
      </c>
      <c r="E21" s="6">
        <v>2184633</v>
      </c>
      <c r="F21" s="6">
        <v>4367</v>
      </c>
      <c r="G21" s="10">
        <f t="shared" si="1"/>
        <v>1.9989627548425756E-3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Impairment Rate Data</vt:lpstr>
      <vt:lpstr>Q2 Bank vs Nonbank Arrears</vt:lpstr>
      <vt:lpstr>Q3 Interest Rate vs Impairment </vt:lpstr>
      <vt:lpstr>Q4 Renewal Exposure</vt:lpstr>
      <vt:lpstr>Q5 Ontario vs Canada Arrears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2026-07-04T11:32:46Z</dcterms:created>
  <dcterms:modified xsi:type="dcterms:W3CDTF">2026-07-04T21:20:38Z</dcterms:modified>
  <dc:language>en-US</dc:language>
</cp:coreProperties>
</file>